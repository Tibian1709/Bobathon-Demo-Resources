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2eb7218f544e1" /><Relationship Type="http://schemas.openxmlformats.org/package/2006/relationships/metadata/core-properties" Target="/docProps/core.xml" Id="Rf5fdca5d609849f7" /><Relationship Type="http://schemas.openxmlformats.org/officeDocument/2006/relationships/extended-properties" Target="/docProps/app.xml" Id="R3cc2a7983ac44e7f" /><Relationship Type="http://schemas.openxmlformats.org/officeDocument/2006/relationships/custom-properties" Target="/docProps/custom.xml" Id="Re4da89127ec849e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  <x:calcPr fullCalcOnLoad="1"/>
</x:workbook>
</file>

<file path=xl/styles.xml><?xml version="1.0" encoding="utf-8"?>
<x:styleSheet xmlns:x="http://schemas.openxmlformats.org/spreadsheetml/2006/main">
  <x:numFmts count="2">
    <x:numFmt numFmtId="164" formatCode="0.0%"/>
    <x:numFmt numFmtId="165" formatCode="$#,##0.00"/>
  </x:numFmts>
  <x:fonts count="5">
    <x:font>
      <x:sz val="11"/>
      <x:name val="Calibri"/>
    </x:font>
    <x:font>
      <x:b/>
      <x:sz val="16"/>
      <x:name val="Calibri"/>
    </x:font>
    <x:font>
      <x:i/>
      <x:sz val="11"/>
      <x:name val="Calibri"/>
    </x:font>
    <x:font>
      <x:b/>
      <x:sz val="12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/>
    <x:xf numFmtId="0" fontId="1" fillId="0" borderId="0" applyFont="1"/>
    <x:xf numFmtId="0" fontId="2" fillId="0" borderId="0" applyFont="1"/>
    <x:xf numFmtId="0" fontId="3" fillId="0" borderId="0" applyFont="1"/>
    <x:xf numFmtId="0" fontId="4" fillId="2" borderId="0" applyFont="1" applyFill="1"/>
    <x:xf numFmtId="164" fontId="0" fillId="0" borderId="0" applyNumberFormat="1"/>
    <x:xf numFmtId="0" fontId="4" fillId="0" borderId="0" applyFont="1"/>
    <x:xf numFmtId="164" fontId="4" fillId="3" borderId="0" applyNumberFormat="1" applyFont="1" applyFill="1"/>
    <x:xf numFmtId="165" fontId="0" fillId="0" borderId="0" applyNumberFormat="1"/>
    <x:xf numFmtId="165" fontId="4" fillId="0" borderId="0" applyNumberFormat="1" applyFont="1"/>
    <x:xf numFmtId="10" fontId="0" fillId="0" borderId="0" applyNumberFormat="1"/>
    <x:xf numFmtId="164" fontId="4" fillId="0" borderId="0" applyNumberFormat="1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ec0f1ec2ff524504" /><Relationship Type="http://schemas.openxmlformats.org/officeDocument/2006/relationships/styles" Target="/xl/styles.xml" Id="R2116c5cffe7647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6" customWidth="1"/>
    <x:col min="2" max="2" width="34" customWidth="1"/>
    <x:col min="3" max="3" width="14" customWidth="1"/>
    <x:col min="4" max="4" width="14" customWidth="1"/>
    <x:col min="5" max="5" width="14" customWidth="1"/>
    <x:col min="6" max="6" width="18" customWidth="1"/>
    <x:col min="7" max="7" width="18" customWidth="1"/>
    <x:col min="8" max="8" width="20" customWidth="1"/>
    <x:col min="9" max="9" width="18" customWidth="1"/>
    <x:col min="10" max="10" width="18" customWidth="1"/>
  </x:cols>
  <x:sheetData>
    <x:row r="1">
      <x:c r="A1" s="1" t="str">
        <x:v>Ingram Micro - Partner Discount &amp; Reseller Margin Calculation Model</x:v>
      </x:c>
    </x:row>
    <x:row r="2">
      <x:c r="A2" s="2" t="str">
        <x:v>Automated pricing and margin model across partner tiers and target product catalog</x:v>
      </x:c>
    </x:row>
    <x:row r="4">
      <x:c r="A4" s="3" t="str">
        <x:v>1. Partner Tiering &amp; Discount Rules Reference</x:v>
      </x:c>
    </x:row>
    <x:row r="5">
      <x:c r="A5" s="4" t="str">
        <x:v>Partner Tier</x:v>
      </x:c>
      <x:c r="B5" s="4" t="str">
        <x:v>Annual Gross Spend Range (USD)</x:v>
      </x:c>
      <x:c r="C5" s="4" t="str">
        <x:v>Distributor Discount Rate</x:v>
      </x:c>
      <x:c r="D5" s="4" t="str">
        <x:v>Quarterly Cloud Rebate</x:v>
      </x:c>
      <x:c r="E5" s="4" t="str">
        <x:v>Key Tier Benefits</x:v>
      </x:c>
    </x:row>
    <x:row r="6">
      <x:c r="A6" t="str">
        <x:v>Standard</x:v>
      </x:c>
      <x:c r="B6" t="str">
        <x:v>$0 – $99,999</x:v>
      </x:c>
      <x:c r="C6" s="5">
        <x:v>0.05</x:v>
      </x:c>
      <x:c r="D6" s="5">
        <x:v>0</x:v>
      </x:c>
      <x:c r="E6" t="str">
        <x:v>Entry Tier Base Access</x:v>
      </x:c>
    </x:row>
    <x:row r="7">
      <x:c r="A7" t="str">
        <x:v>Silver</x:v>
      </x:c>
      <x:c r="B7" t="str">
        <x:v>$100,000 – $499,999</x:v>
      </x:c>
      <x:c r="C7" s="5">
        <x:v>0.085</x:v>
      </x:c>
      <x:c r="D7" s="5">
        <x:v>0.01</x:v>
      </x:c>
      <x:c r="E7" t="str">
        <x:v>1% Cloud Rebate</x:v>
      </x:c>
    </x:row>
    <x:row r="8">
      <x:c r="A8" t="str">
        <x:v>Gold</x:v>
      </x:c>
      <x:c r="B8" t="str">
        <x:v>$500,000 – $1,999,999</x:v>
      </x:c>
      <x:c r="C8" s="5">
        <x:v>0.12</x:v>
      </x:c>
      <x:c r="D8" s="5">
        <x:v>0.02</x:v>
      </x:c>
      <x:c r="E8" t="str">
        <x:v>24/7 L2 Partner Support Access</x:v>
      </x:c>
    </x:row>
    <x:row r="9">
      <x:c r="A9" t="str">
        <x:v>Platinum</x:v>
      </x:c>
      <x:c r="B9" t="str">
        <x:v>$2,000,000+</x:v>
      </x:c>
      <x:c r="C9" s="5">
        <x:v>0.165</x:v>
      </x:c>
      <x:c r="D9" s="5">
        <x:v>0.035</x:v>
      </x:c>
      <x:c r="E9" t="str">
        <x:v>Dedicated Solutions Architect &amp; 5k req/min API</x:v>
      </x:c>
    </x:row>
    <x:row r="11">
      <x:c r="A11" s="6" t="str">
        <x:v>Global Assumptions:</x:v>
      </x:c>
      <x:c r="B11" t="str">
        <x:v>Ingram Base Discount Rate off MSRP (Buy Rate discount):</x:v>
      </x:c>
      <x:c r="C11" s="7">
        <x:v>0.2</x:v>
      </x:c>
    </x:row>
    <x:row r="13">
      <x:c r="A13" s="3" t="str">
        <x:v>2. Product Pricing &amp; Margin Calculation Matrix</x:v>
      </x:c>
    </x:row>
    <x:row r="14">
      <x:c r="A14" s="4" t="str">
        <x:v>SKU Code</x:v>
      </x:c>
      <x:c r="B14" s="4" t="str">
        <x:v>Product Name</x:v>
      </x:c>
      <x:c r="C14" s="4" t="str">
        <x:v>MSRP</x:v>
      </x:c>
      <x:c r="D14" s="4" t="str">
        <x:v>Partner Tier</x:v>
      </x:c>
      <x:c r="E14" s="4" t="str">
        <x:v>Tier Discount %</x:v>
      </x:c>
      <x:c r="F14" s="4" t="str">
        <x:v>Reseller Buy Price</x:v>
      </x:c>
      <x:c r="G14" s="4" t="str">
        <x:v>Ingram Buy Rate</x:v>
      </x:c>
      <x:c r="H14" s="4" t="str">
        <x:v>Distributor Margin $</x:v>
      </x:c>
      <x:c r="I14" s="4" t="str">
        <x:v>Distributor Margin %</x:v>
      </x:c>
      <x:c r="J14" s="4" t="str">
        <x:v>Reseller Gross Margin %</x:v>
      </x:c>
    </x:row>
    <x:row r="15">
      <x:c r="A15" t="str">
        <x:v>M365-BP</x:v>
      </x:c>
      <x:c r="B15" t="str">
        <x:v>Microsoft 365 Business Premium</x:v>
      </x:c>
      <x:c r="C15" s="8">
        <x:v>22</x:v>
      </x:c>
      <x:c r="D15" t="str">
        <x:v>Standard</x:v>
      </x:c>
      <x:c r="E15" s="5">
        <x:f>VLOOKUP(D15,$A$6:$C$9,3,FALSE)</x:f>
        <x:v>0.05</x:v>
      </x:c>
      <x:c r="F15" s="9">
        <x:f>C15*(1-E15)</x:f>
        <x:v>20.9</x:v>
      </x:c>
      <x:c r="G15" s="8">
        <x:f>C15*(1-$C$11)</x:f>
        <x:v>17.6</x:v>
      </x:c>
      <x:c r="H15" s="9">
        <x:f>F15-G15</x:f>
        <x:v>3.3</x:v>
      </x:c>
      <x:c r="I15" s="10">
        <x:f>H15/F15</x:f>
        <x:v>0.157894736842105</x:v>
      </x:c>
      <x:c r="J15" s="11">
        <x:f>(C15-F15)/C15</x:f>
        <x:v>0.050000000000000065</x:v>
      </x:c>
    </x:row>
    <x:row r="16">
      <x:c r="A16" t="str">
        <x:v>M365-BP</x:v>
      </x:c>
      <x:c r="B16" t="str">
        <x:v>Microsoft 365 Business Premium</x:v>
      </x:c>
      <x:c r="C16" s="8">
        <x:v>22</x:v>
      </x:c>
      <x:c r="D16" t="str">
        <x:v>Silver</x:v>
      </x:c>
      <x:c r="E16" s="5">
        <x:f>VLOOKUP(D16,$A$6:$C$9,3,FALSE)</x:f>
        <x:v>0.085</x:v>
      </x:c>
      <x:c r="F16" s="9">
        <x:f>C16*(1-E16)</x:f>
        <x:v>20.13</x:v>
      </x:c>
      <x:c r="G16" s="8">
        <x:f>C16*(1-$C$11)</x:f>
        <x:v>17.6</x:v>
      </x:c>
      <x:c r="H16" s="9">
        <x:f>F16-G16</x:f>
        <x:v>2.53</x:v>
      </x:c>
      <x:c r="I16" s="10">
        <x:f>H16/F16</x:f>
        <x:v>0.12568306010929</x:v>
      </x:c>
      <x:c r="J16" s="11">
        <x:f>(C16-F16)/C16</x:f>
        <x:v>0.08499999999999988</x:v>
      </x:c>
    </x:row>
    <x:row r="17">
      <x:c r="A17" t="str">
        <x:v>M365-BP</x:v>
      </x:c>
      <x:c r="B17" t="str">
        <x:v>Microsoft 365 Business Premium</x:v>
      </x:c>
      <x:c r="C17" s="8">
        <x:v>22</x:v>
      </x:c>
      <x:c r="D17" t="str">
        <x:v>Gold</x:v>
      </x:c>
      <x:c r="E17" s="5">
        <x:f>VLOOKUP(D17,$A$6:$C$9,3,FALSE)</x:f>
        <x:v>0.12</x:v>
      </x:c>
      <x:c r="F17" s="9">
        <x:f>C17*(1-E17)</x:f>
        <x:v>19.36</x:v>
      </x:c>
      <x:c r="G17" s="8">
        <x:f>C17*(1-$C$11)</x:f>
        <x:v>17.6</x:v>
      </x:c>
      <x:c r="H17" s="9">
        <x:f>F17-G17</x:f>
        <x:v>1.76</x:v>
      </x:c>
      <x:c r="I17" s="10">
        <x:f>H17/F17</x:f>
        <x:v>0.09090909090909081</x:v>
      </x:c>
      <x:c r="J17" s="11">
        <x:f>(C17-F17)/C17</x:f>
        <x:v>0.12</x:v>
      </x:c>
    </x:row>
    <x:row r="18">
      <x:c r="A18" t="str">
        <x:v>M365-BP</x:v>
      </x:c>
      <x:c r="B18" t="str">
        <x:v>Microsoft 365 Business Premium</x:v>
      </x:c>
      <x:c r="C18" s="8">
        <x:v>22</x:v>
      </x:c>
      <x:c r="D18" t="str">
        <x:v>Platinum</x:v>
      </x:c>
      <x:c r="E18" s="5">
        <x:f>VLOOKUP(D18,$A$6:$C$9,3,FALSE)</x:f>
        <x:v>0.165</x:v>
      </x:c>
      <x:c r="F18" s="9">
        <x:f>C18*(1-E18)</x:f>
        <x:v>18.37</x:v>
      </x:c>
      <x:c r="G18" s="8">
        <x:f>C18*(1-$C$11)</x:f>
        <x:v>17.6</x:v>
      </x:c>
      <x:c r="H18" s="9">
        <x:f>F18-G18</x:f>
        <x:v>0.769999999999996</x:v>
      </x:c>
      <x:c r="I18" s="10">
        <x:f>H18/F18</x:f>
        <x:v>0.04191616766467045</x:v>
      </x:c>
      <x:c r="J18" s="11">
        <x:f>(C18-F18)/C18</x:f>
        <x:v>0.165</x:v>
      </x:c>
    </x:row>
    <x:row r="19">
      <x:c r="A19" t="str">
        <x:v>ADB-CCT</x:v>
      </x:c>
      <x:c r="B19" t="str">
        <x:v>Adobe Creative Cloud for Teams</x:v>
      </x:c>
      <x:c r="C19" s="8">
        <x:v>84.99</x:v>
      </x:c>
      <x:c r="D19" t="str">
        <x:v>Standard</x:v>
      </x:c>
      <x:c r="E19" s="5">
        <x:f>VLOOKUP(D19,$A$6:$C$9,3,FALSE)</x:f>
        <x:v>0.05</x:v>
      </x:c>
      <x:c r="F19" s="9">
        <x:f>C19*(1-E19)</x:f>
        <x:v>80.7405</x:v>
      </x:c>
      <x:c r="G19" s="8">
        <x:f>C19*(1-$C$11)</x:f>
        <x:v>67.992</x:v>
      </x:c>
      <x:c r="H19" s="9">
        <x:f>F19-G19</x:f>
        <x:v>12.7485</x:v>
      </x:c>
      <x:c r="I19" s="10">
        <x:f>H19/F19</x:f>
        <x:v>0.157894736842105</x:v>
      </x:c>
      <x:c r="J19" s="11">
        <x:f>(C19-F19)/C19</x:f>
        <x:v>0.049999999999999975</x:v>
      </x:c>
    </x:row>
    <x:row r="20">
      <x:c r="A20" t="str">
        <x:v>ADB-CCT</x:v>
      </x:c>
      <x:c r="B20" t="str">
        <x:v>Adobe Creative Cloud for Teams</x:v>
      </x:c>
      <x:c r="C20" s="8">
        <x:v>84.99</x:v>
      </x:c>
      <x:c r="D20" t="str">
        <x:v>Silver</x:v>
      </x:c>
      <x:c r="E20" s="5">
        <x:f>VLOOKUP(D20,$A$6:$C$9,3,FALSE)</x:f>
        <x:v>0.085</x:v>
      </x:c>
      <x:c r="F20" s="9">
        <x:f>C20*(1-E20)</x:f>
        <x:v>77.76585</x:v>
      </x:c>
      <x:c r="G20" s="8">
        <x:f>C20*(1-$C$11)</x:f>
        <x:v>67.992</x:v>
      </x:c>
      <x:c r="H20" s="9">
        <x:f>F20-G20</x:f>
        <x:v>9.77385</x:v>
      </x:c>
      <x:c r="I20" s="10">
        <x:f>H20/F20</x:f>
        <x:v>0.12568306010929</x:v>
      </x:c>
      <x:c r="J20" s="11">
        <x:f>(C20-F20)/C20</x:f>
        <x:v>0.08499999999999994</x:v>
      </x:c>
    </x:row>
    <x:row r="21">
      <x:c r="A21" t="str">
        <x:v>ADB-CCT</x:v>
      </x:c>
      <x:c r="B21" t="str">
        <x:v>Adobe Creative Cloud for Teams</x:v>
      </x:c>
      <x:c r="C21" s="8">
        <x:v>84.99</x:v>
      </x:c>
      <x:c r="D21" t="str">
        <x:v>Gold</x:v>
      </x:c>
      <x:c r="E21" s="5">
        <x:f>VLOOKUP(D21,$A$6:$C$9,3,FALSE)</x:f>
        <x:v>0.12</x:v>
      </x:c>
      <x:c r="F21" s="9">
        <x:f>C21*(1-E21)</x:f>
        <x:v>74.7912</x:v>
      </x:c>
      <x:c r="G21" s="8">
        <x:f>C21*(1-$C$11)</x:f>
        <x:v>67.992</x:v>
      </x:c>
      <x:c r="H21" s="9">
        <x:f>F21-G21</x:f>
        <x:v>6.79919999999998</x:v>
      </x:c>
      <x:c r="I21" s="10">
        <x:f>H21/F21</x:f>
        <x:v>0.09090909090909072</x:v>
      </x:c>
      <x:c r="J21" s="11">
        <x:f>(C21-F21)/C21</x:f>
        <x:v>0.12</x:v>
      </x:c>
    </x:row>
    <x:row r="22">
      <x:c r="A22" t="str">
        <x:v>ADB-CCT</x:v>
      </x:c>
      <x:c r="B22" t="str">
        <x:v>Adobe Creative Cloud for Teams</x:v>
      </x:c>
      <x:c r="C22" s="8">
        <x:v>84.99</x:v>
      </x:c>
      <x:c r="D22" t="str">
        <x:v>Platinum</x:v>
      </x:c>
      <x:c r="E22" s="5">
        <x:f>VLOOKUP(D22,$A$6:$C$9,3,FALSE)</x:f>
        <x:v>0.165</x:v>
      </x:c>
      <x:c r="F22" s="9">
        <x:f>C22*(1-E22)</x:f>
        <x:v>70.96665</x:v>
      </x:c>
      <x:c r="G22" s="8">
        <x:f>C22*(1-$C$11)</x:f>
        <x:v>67.992</x:v>
      </x:c>
      <x:c r="H22" s="9">
        <x:f>F22-G22</x:f>
        <x:v>2.97464999999998</x:v>
      </x:c>
      <x:c r="I22" s="10">
        <x:f>H22/F22</x:f>
        <x:v>0.04191616766467042</x:v>
      </x:c>
      <x:c r="J22" s="11">
        <x:f>(C22-F22)/C22</x:f>
        <x:v>0.165</x:v>
      </x:c>
    </x:row>
    <x:row r="23">
      <x:c r="A23" t="str">
        <x:v>CISCO-DUO</x:v>
      </x:c>
      <x:c r="B23" t="str">
        <x:v>Cisco Duo MFA Enterprise</x:v>
      </x:c>
      <x:c r="C23" s="8">
        <x:v>6</x:v>
      </x:c>
      <x:c r="D23" t="str">
        <x:v>Standard</x:v>
      </x:c>
      <x:c r="E23" s="5">
        <x:f>VLOOKUP(D23,$A$6:$C$9,3,FALSE)</x:f>
        <x:v>0.05</x:v>
      </x:c>
      <x:c r="F23" s="9">
        <x:f>C23*(1-E23)</x:f>
        <x:v>5.7</x:v>
      </x:c>
      <x:c r="G23" s="8">
        <x:f>C23*(1-$C$11)</x:f>
        <x:v>4.8</x:v>
      </x:c>
      <x:c r="H23" s="9">
        <x:f>F23-G23</x:f>
        <x:v>0.899999999999999</x:v>
      </x:c>
      <x:c r="I23" s="10">
        <x:f>H23/F23</x:f>
        <x:v>0.157894736842105</x:v>
      </x:c>
      <x:c r="J23" s="11">
        <x:f>(C23-F23)/C23</x:f>
        <x:v>0.05000000000000012</x:v>
      </x:c>
    </x:row>
    <x:row r="24">
      <x:c r="A24" t="str">
        <x:v>CISCO-DUO</x:v>
      </x:c>
      <x:c r="B24" t="str">
        <x:v>Cisco Duo MFA Enterprise</x:v>
      </x:c>
      <x:c r="C24" s="8">
        <x:v>6</x:v>
      </x:c>
      <x:c r="D24" t="str">
        <x:v>Silver</x:v>
      </x:c>
      <x:c r="E24" s="5">
        <x:f>VLOOKUP(D24,$A$6:$C$9,3,FALSE)</x:f>
        <x:v>0.085</x:v>
      </x:c>
      <x:c r="F24" s="9">
        <x:f>C24*(1-E24)</x:f>
        <x:v>5.49</x:v>
      </x:c>
      <x:c r="G24" s="8">
        <x:f>C24*(1-$C$11)</x:f>
        <x:v>4.8</x:v>
      </x:c>
      <x:c r="H24" s="9">
        <x:f>F24-G24</x:f>
        <x:v>0.69</x:v>
      </x:c>
      <x:c r="I24" s="10">
        <x:f>H24/F24</x:f>
        <x:v>0.12568306010929</x:v>
      </x:c>
      <x:c r="J24" s="11">
        <x:f>(C24-F24)/C24</x:f>
        <x:v>0.08499999999999996</x:v>
      </x:c>
    </x:row>
    <x:row r="25">
      <x:c r="A25" t="str">
        <x:v>CISCO-DUO</x:v>
      </x:c>
      <x:c r="B25" t="str">
        <x:v>Cisco Duo MFA Enterprise</x:v>
      </x:c>
      <x:c r="C25" s="8">
        <x:v>6</x:v>
      </x:c>
      <x:c r="D25" t="str">
        <x:v>Gold</x:v>
      </x:c>
      <x:c r="E25" s="5">
        <x:f>VLOOKUP(D25,$A$6:$C$9,3,FALSE)</x:f>
        <x:v>0.12</x:v>
      </x:c>
      <x:c r="F25" s="9">
        <x:f>C25*(1-E25)</x:f>
        <x:v>5.28</x:v>
      </x:c>
      <x:c r="G25" s="8">
        <x:f>C25*(1-$C$11)</x:f>
        <x:v>4.8</x:v>
      </x:c>
      <x:c r="H25" s="9">
        <x:f>F25-G25</x:f>
        <x:v>0.48</x:v>
      </x:c>
      <x:c r="I25" s="10">
        <x:f>H25/F25</x:f>
        <x:v>0.09090909090909081</x:v>
      </x:c>
      <x:c r="J25" s="11">
        <x:f>(C25-F25)/C25</x:f>
        <x:v>0.12</x:v>
      </x:c>
    </x:row>
    <x:row r="26">
      <x:c r="A26" t="str">
        <x:v>CISCO-DUO</x:v>
      </x:c>
      <x:c r="B26" t="str">
        <x:v>Cisco Duo MFA Enterprise</x:v>
      </x:c>
      <x:c r="C26" s="8">
        <x:v>6</x:v>
      </x:c>
      <x:c r="D26" t="str">
        <x:v>Platinum</x:v>
      </x:c>
      <x:c r="E26" s="5">
        <x:f>VLOOKUP(D26,$A$6:$C$9,3,FALSE)</x:f>
        <x:v>0.165</x:v>
      </x:c>
      <x:c r="F26" s="9">
        <x:f>C26*(1-E26)</x:f>
        <x:v>5.01</x:v>
      </x:c>
      <x:c r="G26" s="8">
        <x:f>C26*(1-$C$11)</x:f>
        <x:v>4.8</x:v>
      </x:c>
      <x:c r="H26" s="9">
        <x:f>F26-G26</x:f>
        <x:v>0.209999999999999</x:v>
      </x:c>
      <x:c r="I26" s="10">
        <x:f>H26/F26</x:f>
        <x:v>0.041916167664670476</x:v>
      </x:c>
      <x:c r="J26" s="11">
        <x:f>(C26-F26)/C26</x:f>
        <x:v>0.165</x:v>
      </x:c>
    </x:row>
    <x:row r="27">
      <x:c r="A27" t="str">
        <x:v>AWS-CON</x:v>
      </x:c>
      <x:c r="B27" t="str">
        <x:v>AWS Cloud Consumption Direct</x:v>
      </x:c>
      <x:c r="C27" s="8">
        <x:v>10000</x:v>
      </x:c>
      <x:c r="D27" t="str">
        <x:v>Standard</x:v>
      </x:c>
      <x:c r="E27" s="5">
        <x:f>VLOOKUP(D27,$A$6:$C$9,3,FALSE)</x:f>
        <x:v>0.05</x:v>
      </x:c>
      <x:c r="F27" s="9">
        <x:f>C27*(1-E27)</x:f>
        <x:v>9500</x:v>
      </x:c>
      <x:c r="G27" s="8">
        <x:f>C27*(1-$C$11)</x:f>
        <x:v>8000</x:v>
      </x:c>
      <x:c r="H27" s="9">
        <x:f>F27-G27</x:f>
        <x:v>1500</x:v>
      </x:c>
      <x:c r="I27" s="10">
        <x:f>H27/F27</x:f>
        <x:v>0.157894736842105</x:v>
      </x:c>
      <x:c r="J27" s="11">
        <x:f>(C27-F27)/C27</x:f>
        <x:v>0.05</x:v>
      </x:c>
    </x:row>
    <x:row r="28">
      <x:c r="A28" t="str">
        <x:v>AWS-CON</x:v>
      </x:c>
      <x:c r="B28" t="str">
        <x:v>AWS Cloud Consumption Direct</x:v>
      </x:c>
      <x:c r="C28" s="8">
        <x:v>10000</x:v>
      </x:c>
      <x:c r="D28" t="str">
        <x:v>Silver</x:v>
      </x:c>
      <x:c r="E28" s="5">
        <x:f>VLOOKUP(D28,$A$6:$C$9,3,FALSE)</x:f>
        <x:v>0.085</x:v>
      </x:c>
      <x:c r="F28" s="9">
        <x:f>C28*(1-E28)</x:f>
        <x:v>9150</x:v>
      </x:c>
      <x:c r="G28" s="8">
        <x:f>C28*(1-$C$11)</x:f>
        <x:v>8000</x:v>
      </x:c>
      <x:c r="H28" s="9">
        <x:f>F28-G28</x:f>
        <x:v>1150</x:v>
      </x:c>
      <x:c r="I28" s="10">
        <x:f>H28/F28</x:f>
        <x:v>0.12568306010929</x:v>
      </x:c>
      <x:c r="J28" s="11">
        <x:f>(C28-F28)/C28</x:f>
        <x:v>0.085</x:v>
      </x:c>
    </x:row>
    <x:row r="29">
      <x:c r="A29" t="str">
        <x:v>AWS-CON</x:v>
      </x:c>
      <x:c r="B29" t="str">
        <x:v>AWS Cloud Consumption Direct</x:v>
      </x:c>
      <x:c r="C29" s="8">
        <x:v>10000</x:v>
      </x:c>
      <x:c r="D29" t="str">
        <x:v>Gold</x:v>
      </x:c>
      <x:c r="E29" s="5">
        <x:f>VLOOKUP(D29,$A$6:$C$9,3,FALSE)</x:f>
        <x:v>0.12</x:v>
      </x:c>
      <x:c r="F29" s="9">
        <x:f>C29*(1-E29)</x:f>
        <x:v>8800</x:v>
      </x:c>
      <x:c r="G29" s="8">
        <x:f>C29*(1-$C$11)</x:f>
        <x:v>8000</x:v>
      </x:c>
      <x:c r="H29" s="9">
        <x:f>F29-G29</x:f>
        <x:v>800</x:v>
      </x:c>
      <x:c r="I29" s="10">
        <x:f>H29/F29</x:f>
        <x:v>0.09090909090909091</x:v>
      </x:c>
      <x:c r="J29" s="11">
        <x:f>(C29-F29)/C29</x:f>
        <x:v>0.12</x:v>
      </x:c>
    </x:row>
    <x:row r="30">
      <x:c r="A30" t="str">
        <x:v>AWS-CON</x:v>
      </x:c>
      <x:c r="B30" t="str">
        <x:v>AWS Cloud Consumption Direct</x:v>
      </x:c>
      <x:c r="C30" s="8">
        <x:v>10000</x:v>
      </x:c>
      <x:c r="D30" t="str">
        <x:v>Platinum</x:v>
      </x:c>
      <x:c r="E30" s="5">
        <x:f>VLOOKUP(D30,$A$6:$C$9,3,FALSE)</x:f>
        <x:v>0.165</x:v>
      </x:c>
      <x:c r="F30" s="9">
        <x:f>C30*(1-E30)</x:f>
        <x:v>8350</x:v>
      </x:c>
      <x:c r="G30" s="8">
        <x:f>C30*(1-$C$11)</x:f>
        <x:v>8000</x:v>
      </x:c>
      <x:c r="H30" s="9">
        <x:f>F30-G30</x:f>
        <x:v>350</x:v>
      </x:c>
      <x:c r="I30" s="10">
        <x:f>H30/F30</x:f>
        <x:v>0.041916167664670656</x:v>
      </x:c>
      <x:c r="J30" s="11">
        <x:f>(C30-F30)/C30</x:f>
        <x:v>0.165</x:v>
      </x:c>
    </x:row>
    <x:row r="31">
      <x:c r="A31" t="str">
        <x:v>VEEAM-M365</x:v>
      </x:c>
      <x:c r="B31" t="str">
        <x:v>Veeam Backup for Microsoft 365</x:v>
      </x:c>
      <x:c r="C31" s="8">
        <x:v>1.8</x:v>
      </x:c>
      <x:c r="D31" t="str">
        <x:v>Standard</x:v>
      </x:c>
      <x:c r="E31" s="5">
        <x:f>VLOOKUP(D31,$A$6:$C$9,3,FALSE)</x:f>
        <x:v>0.05</x:v>
      </x:c>
      <x:c r="F31" s="9">
        <x:f>C31*(1-E31)</x:f>
        <x:v>1.71</x:v>
      </x:c>
      <x:c r="G31" s="8">
        <x:f>C31*(1-$C$11)</x:f>
        <x:v>1.44</x:v>
      </x:c>
      <x:c r="H31" s="9">
        <x:f>F31-G31</x:f>
        <x:v>0.27</x:v>
      </x:c>
      <x:c r="I31" s="10">
        <x:f>H31/F31</x:f>
        <x:v>0.157894736842105</x:v>
      </x:c>
      <x:c r="J31" s="11">
        <x:f>(C31-F31)/C31</x:f>
        <x:v>0.050000000000000044</x:v>
      </x:c>
    </x:row>
    <x:row r="32">
      <x:c r="A32" t="str">
        <x:v>VEEAM-M365</x:v>
      </x:c>
      <x:c r="B32" t="str">
        <x:v>Veeam Backup for Microsoft 365</x:v>
      </x:c>
      <x:c r="C32" s="8">
        <x:v>1.8</x:v>
      </x:c>
      <x:c r="D32" t="str">
        <x:v>Silver</x:v>
      </x:c>
      <x:c r="E32" s="5">
        <x:f>VLOOKUP(D32,$A$6:$C$9,3,FALSE)</x:f>
        <x:v>0.085</x:v>
      </x:c>
      <x:c r="F32" s="9">
        <x:f>C32*(1-E32)</x:f>
        <x:v>1.647</x:v>
      </x:c>
      <x:c r="G32" s="8">
        <x:f>C32*(1-$C$11)</x:f>
        <x:v>1.44</x:v>
      </x:c>
      <x:c r="H32" s="9">
        <x:f>F32-G32</x:f>
        <x:v>0.207</x:v>
      </x:c>
      <x:c r="I32" s="10">
        <x:f>H32/F32</x:f>
        <x:v>0.12568306010929</x:v>
      </x:c>
      <x:c r="J32" s="11">
        <x:f>(C32-F32)/C32</x:f>
        <x:v>0.085</x:v>
      </x:c>
    </x:row>
    <x:row r="33">
      <x:c r="A33" t="str">
        <x:v>VEEAM-M365</x:v>
      </x:c>
      <x:c r="B33" t="str">
        <x:v>Veeam Backup for Microsoft 365</x:v>
      </x:c>
      <x:c r="C33" s="8">
        <x:v>1.8</x:v>
      </x:c>
      <x:c r="D33" t="str">
        <x:v>Gold</x:v>
      </x:c>
      <x:c r="E33" s="5">
        <x:f>VLOOKUP(D33,$A$6:$C$9,3,FALSE)</x:f>
        <x:v>0.12</x:v>
      </x:c>
      <x:c r="F33" s="9">
        <x:f>C33*(1-E33)</x:f>
        <x:v>1.584</x:v>
      </x:c>
      <x:c r="G33" s="8">
        <x:f>C33*(1-$C$11)</x:f>
        <x:v>1.44</x:v>
      </x:c>
      <x:c r="H33" s="9">
        <x:f>F33-G33</x:f>
        <x:v>0.144</x:v>
      </x:c>
      <x:c r="I33" s="10">
        <x:f>H33/F33</x:f>
        <x:v>0.09090909090909084</x:v>
      </x:c>
      <x:c r="J33" s="11">
        <x:f>(C33-F33)/C33</x:f>
        <x:v>0.12</x:v>
      </x:c>
    </x:row>
    <x:row r="34">
      <x:c r="A34" t="str">
        <x:v>VEEAM-M365</x:v>
      </x:c>
      <x:c r="B34" t="str">
        <x:v>Veeam Backup for Microsoft 365</x:v>
      </x:c>
      <x:c r="C34" s="8">
        <x:v>1.8</x:v>
      </x:c>
      <x:c r="D34" t="str">
        <x:v>Platinum</x:v>
      </x:c>
      <x:c r="E34" s="5">
        <x:f>VLOOKUP(D34,$A$6:$C$9,3,FALSE)</x:f>
        <x:v>0.165</x:v>
      </x:c>
      <x:c r="F34" s="9">
        <x:f>C34*(1-E34)</x:f>
        <x:v>1.503</x:v>
      </x:c>
      <x:c r="G34" s="8">
        <x:f>C34*(1-$C$11)</x:f>
        <x:v>1.44</x:v>
      </x:c>
      <x:c r="H34" s="9">
        <x:f>F34-G34</x:f>
        <x:v>0.06299999999999972</x:v>
      </x:c>
      <x:c r="I34" s="10">
        <x:f>H34/F34</x:f>
        <x:v>0.041916167664670476</x:v>
      </x:c>
      <x:c r="J34" s="11">
        <x:f>(C34-F34)/C34</x:f>
        <x:v>0.165</x:v>
      </x:c>
    </x:row>
  </x:sheetData>
</x:worksheet>
</file>

<file path=docProps/app.xml><?xml version="1.0" encoding="utf-8"?>
<ap:Properties xmlns:ap="http://schemas.openxmlformats.org/officeDocument/2006/extended-properties">
  <ap:Application>OfficeCLI/1.0.151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2026-09-21T01:36:26Z</dcterms:created>
  <cp:lastModifiedBy>OfficeCLI</cp:lastModifiedBy>
  <dcterms:modified xsi:type="dcterms:W3CDTF">2026-09-21T01:36:26Z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1.0.151</vt:lpwstr>
  </op:property>
  <op:property fmtid="{D5CDD505-2E9C-101B-9397-08002B2CF9AE}" pid="3" name="OfficeCLI.LastModified">
    <vt:lpwstr xmlns:vt="http://schemas.openxmlformats.org/officeDocument/2006/docPropsVTypes">2026-09-21T01:36:42Z</vt:lpwstr>
  </op:property>
</op:Properties>
</file>